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namorata/Desktop/txt/"/>
    </mc:Choice>
  </mc:AlternateContent>
  <xr:revisionPtr revIDLastSave="0" documentId="13_ncr:1_{0213E0B5-9279-7445-BD91-80B930C9F471}" xr6:coauthVersionLast="47" xr6:coauthVersionMax="47" xr10:uidLastSave="{00000000-0000-0000-0000-000000000000}"/>
  <bookViews>
    <workbookView xWindow="5620" yWindow="500" windowWidth="25600" windowHeight="15500" activeTab="1" xr2:uid="{3214C07E-AEFA-AA4D-8EA5-53520963A233}"/>
  </bookViews>
  <sheets>
    <sheet name="editor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C5" i="1" s="1" a="1"/>
  <c r="C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<sst xmlns="http://schemas.openxmlformats.org/spreadsheetml/2006/main" count="142" uniqueCount="94">
  <si>
    <t>LaTeX</t>
  </si>
  <si>
    <t>Description</t>
  </si>
  <si>
    <t>Course</t>
  </si>
  <si>
    <t>COMP8600</t>
  </si>
  <si>
    <t>COMP6320</t>
  </si>
  <si>
    <t>COMP6262</t>
  </si>
  <si>
    <t>COMP6442</t>
  </si>
  <si>
    <t>Count</t>
  </si>
  <si>
    <t>$$
y(x, \mathbf{w})=w_{0}+w_{1} x+w_{2} x^{2}+\ldots+w_{M} x^{M}=\sum_{j=0}^{M} w_{j} x^{j}
$$</t>
  </si>
  <si>
    <t>$$
E(\mathbf{w})=\frac{1}{2} \sum_{n=1}^{N}\left\{y\left(x_{n}, \mathbf{w}\right)-t_{n}\right\}^{2}
$$</t>
  </si>
  <si>
    <t>sum-of-squares error function</t>
  </si>
  <si>
    <t>$$
\widetilde{E}(\mathbf{w})=\frac{1}{2} \sum_{n=1}^{N}\left\{y\left(x_{n}, \mathbf{w}\right)-t_{n}\right\}^{2}+\frac{\lambda}{2}\|\mathbf{w}\|^{2}
$$</t>
  </si>
  <si>
    <t>quadratic regularizer, ridge regression, weight decay (neural networks), shrinkage (statistics literature)</t>
  </si>
  <si>
    <t>$$
E_{\mathrm{RMS}}=\sqrt{2 E\left(\mathbf{w}^{\star}\right) / N}
$$</t>
  </si>
  <si>
    <t>root-mean-square (RMS) error</t>
  </si>
  <si>
    <t>$$
p(X)=\sum_{Y} p(X, Y)
$$</t>
  </si>
  <si>
    <t>sum rule of probability</t>
  </si>
  <si>
    <t>$$
p(X, Y)=p(Y \mid X) p(X)
$$</t>
  </si>
  <si>
    <t>product rule of probability</t>
  </si>
  <si>
    <t>$$
p(Y \mid X)=\frac{p(X \mid Y) p(Y)}{p(X)}
$$</t>
  </si>
  <si>
    <t xml:space="preserve">Bayes’ theorem </t>
  </si>
  <si>
    <t>$$
\int_{-\infty}^{\infty} e^{-a(x+b)^{2}} d x=\sqrt{\frac{\pi}{a}}
$$</t>
  </si>
  <si>
    <t>Gaussian integral, Euler–Poisson integral</t>
  </si>
  <si>
    <t>$$
\begin{aligned}
p(x) &amp; \geqslant 0 \\
\int_{-\infty}^{\infty} p(x) \mathrm{d} x &amp;=1
\end{aligned}
$$</t>
  </si>
  <si>
    <t>Kolmogorov axioms, Probability axioms</t>
  </si>
  <si>
    <t>$$
\begin{aligned}
p_{y}(y) &amp;=p_{x}(x)\left|\frac{\mathrm{d} x}{\mathrm{~d} y}\right| \\
&amp;=p_{x}(g(y))\left|g^{\prime}(y)\right|
\end{aligned}
$$</t>
  </si>
  <si>
    <t>Jacobian transformation, change of variable, Jacobian factor</t>
  </si>
  <si>
    <t>$$
\|\boldsymbol{x}\|_{2}:=\sqrt{x_{1}^{2}+\cdots+x_{n}^{2}}
$$</t>
  </si>
  <si>
    <t>Euclidean distance, Euclidean norm</t>
  </si>
  <si>
    <t>$$
\begin{aligned}
p(x) &amp;=\int p(x, y) \mathrm{d} y \\
p(x, y) &amp;=p(y \mid x) p(x) .
\end{aligned}
$$</t>
  </si>
  <si>
    <t>sum rule and product rule for continuous variables</t>
  </si>
  <si>
    <t>$$
\begin{aligned}
\operatorname{cov}[x, y] &amp;=\mathbb{E}_{x, y}[\{x-\mathbb{E}[x]\}\{y-\mathbb{E}[y]\}] \\
&amp;=\mathbb{E}_{x, y}[x y]-\mathbb{E}[x] \mathbb{E}[y] \\
\operatorname{cov}[\mathbf{x}, \mathbf{y}] &amp;=\mathbb{E}_{\mathbf{x}, \mathbf{y}}\left[\{\mathbf{x}-\mathbb{E}[\mathbf{x}]\}\left\{\mathbf{y}^{\mathrm{T}}-\mathbb{E}\left[\mathbf{y}^{\mathrm{T}}\right]\right\}\right] \\
&amp;=\mathbb{E}_{\mathbf{x}, \mathbf{y}}\left[\mathbf{x y}^{\mathrm{T}}\right]-\mathbb{E}[\mathbf{x}] \mathbb{E}\left[\mathbf{y}^{\mathrm{T}}\right]
\end{aligned}
$$</t>
  </si>
  <si>
    <t>covariance, covariance matrix</t>
  </si>
  <si>
    <t>$$
p(\mathbf{w} \mid \mathcal{D})=\frac{p(\mathcal{D} \mid \mathbf{w}) p(\mathbf{w})}{p(\mathcal{D})}
$$</t>
  </si>
  <si>
    <t xml:space="preserve">Bayes’ theorem, Bayesian inference, likelihood function, conditional probability </t>
  </si>
  <si>
    <t>$$
\text { posterior } \propto \text { likelihood } \times \text { prior }
$$</t>
  </si>
  <si>
    <t>Bayes' theorem, posterior, prior</t>
  </si>
  <si>
    <t>$$
p(\mathcal{D})=\int p(\mathcal{D} \mid \mathbf{w}) p(\mathbf{w}) \mathrm{d} \mathbf{w}
$$</t>
  </si>
  <si>
    <t>denominator, Bayes’ theorem</t>
  </si>
  <si>
    <t>$$
\mathcal{N}\left(x \mid \mu, \sigma^{2}\right)=\frac{1}{\left(2 \pi \sigma^{2}\right)^{1 / 2}} \exp \left\{-\frac{1}{2 \sigma^{2}}(x-\mu)^{2}\right\}
$$</t>
  </si>
  <si>
    <t>Gaussian distribution, normal distribution</t>
  </si>
  <si>
    <t>$$
f(x)=\sqrt{\frac{\beta}{2 \pi}} e^{-\beta(x-\mu)^{2} / 2}, \quad \beta=1 / \sigma^{2}
$$</t>
  </si>
  <si>
    <t>Gaussian distribution, normal distribution, precision, reciprocal of the variance</t>
  </si>
  <si>
    <t>$$
\mathcal{N}(\mathbf{x} \mid \boldsymbol{\mu}, \boldsymbol{\Sigma})=\frac{1}{(2 \pi)^{D / 2}} \frac{1}{|\boldsymbol{\Sigma}|^{1 / 2}} \exp \left\{-\frac{1}{2}(\mathbf{x}-\boldsymbol{\mu})^{\mathrm{T}} \boldsymbol{\Sigma}^{-1}(\mathbf{x}-\boldsymbol{\mu})\right\}
$$</t>
  </si>
  <si>
    <t>multivariate normal distribution, multivariate Gaussian distribution, joint normal distribution, determinant, covariance, D-dimensional vector</t>
  </si>
  <si>
    <t>$$
\begin{array}{l}
\mu_{\mathrm{ML}}=\frac{1}{N} \sum_{n=1}^{N} x_{n} \\
\sigma_{\mathrm{ML}}^{2}=\frac{1}{N} \sum_{n=1}^{N}\left(x_{n}-\mu_{\mathrm{ML}}\right)^{2}
\end{array}
$$</t>
  </si>
  <si>
    <t>sample mean, sample variance, maximum likelihood solution, normal distribution, Gaussian distribution</t>
  </si>
  <si>
    <t>$$
\begin{aligned}
\mathbb{E}\left[\mu_{\mathrm{ML}}\right] &amp;=\mu \\
\mathbb{E}\left[\sigma_{\mathrm{ML}}^{2}\right] &amp;=\left(\frac{N-1}{N}\right) \sigma^{2}
\end{aligned}
$$</t>
  </si>
  <si>
    <t>true mean, true variance, underestimation, bias, normal distribution</t>
  </si>
  <si>
    <t>$$
p(t \mid x, \mathbf{w}, \beta)=\mathcal{N}\left(t \mid y(x, \mathbf{w}), \beta^{-1}\right)
$$</t>
  </si>
  <si>
    <t>polynomial curve fitting, error minimization</t>
  </si>
  <si>
    <t>polynomial curve fitting, target variable, probabilistic inference, Bayesian</t>
  </si>
  <si>
    <t>$$
\begin{array}{l}
p(\mathbf{t} \mid \mathbf{x}, \mathbf{w}, \beta)=\prod_{n=1}^{N} \mathcal{N}\left(t_{n} \mid y\left(x_{n}, \mathbf{w}\right), \beta^{-1}\right) \\
\frac{1}{\beta_{\mathrm{ML}}}=\frac{1}{N} \sum_{n=1}^{N}\left\{y\left(x_{n}, \mathbf{w}_{\mathrm{ML}}\right)-t_{n}\right\}^{2} \\
p(\mathbf{w} \mid \alpha)=\mathcal{N}\left(\mathbf{w} \mid \mathbf{0}, \alpha^{-1} \mathbf{I}\right)=\left(\frac{\alpha}{2 \pi}\right)^{(M+1) / 2} \exp \left\{-\frac{\alpha}{2} \mathbf{w}^{\mathrm{T}} \mathbf{w}\right\} \\
p(\mathbf{w} \mid \mathbf{x}, \mathbf{t}, \alpha, \beta) \propto p(\mathbf{t} \mid \mathbf{x}, \mathbf{w}, \beta) p(\mathbf{w} \mid \alpha) \\
\mathbf{w}_{\mathrm{MAP}}=\arg \min _{\mathbf{w}} \frac{\beta}{2} \sum_{n=1}^{N}\left\{y\left(x_{n}, \mathbf{w}\right)-t_{n}\right\}^{2}+\frac{\alpha}{2} \mathbf{w}^{\mathrm{T}} \mathbf{w}
\end{array}
$$</t>
  </si>
  <si>
    <t>regularized sum-of-squares error, maximum a posteriori probability (MAP) estimate, polynomial curve fitting</t>
  </si>
  <si>
    <t>$$
p(t \mid x, \mathbf{x}, \mathbf{t})=\int p(t \mid x, \mathbf{w}) p(\mathbf{w} \mid \mathbf{x}, \mathbf{t}) \mathrm{d} \mathbf{w}
$$</t>
  </si>
  <si>
    <t xml:space="preserve">predictive distribution, polynomial curve fitting </t>
  </si>
  <si>
    <t>$$
\begin{aligned}
p(t \mid x, \mathbf{x}, \mathbf{t})&amp;=\mathcal{N}\left(t \mid m(x), s^{2}(x)\right) \\
m(x)&amp;=\beta \boldsymbol{\phi}(x)^{\mathrm{T}} \mathbf{S} \sum_{n=1}^{N} \boldsymbol{\phi}\left(x_{n}\right) t_{n} \\
s^{2}(x)&amp;=\beta^{-1}+\boldsymbol{\phi}(x)^{\mathrm{T}} \mathbf{S} \boldsymbol{\phi}(x) \\
\mathbf{S}^{-1}&amp;=\alpha \mathbf{I}+\beta \sum_{n=1}^{N} \boldsymbol{\phi}\left(x_{n}\right) \boldsymbol{\phi}(x)^{\mathrm{T}} \\ \boldsymbol{\phi}(x)&amp;:\phi_{i}(x)=x^{i},\quad i=0,\dots,M
\end{aligned}
$$</t>
  </si>
  <si>
    <t xml:space="preserve">analytical solution, predictive distribution, polynomial curve fitting </t>
  </si>
  <si>
    <t>$$
\ln p\left(\mathcal{D} \mid \mathbf{w}_{\mathrm{ML}}\right)-M
$$</t>
  </si>
  <si>
    <t>Akaike information criterion, AIC, best-fit log likelihood</t>
  </si>
  <si>
    <t>$$
y(\mathbf{x}, \mathbf{w})=w_{0}+\sum_{i=1}^{D} w_{i} x_{i}+\sum_{i=1}^{D} \sum_{j=1}^{D} w_{i j} x_{i} x_{j}+\sum_{i=1}^{D} \sum_{j=1}^{D} \sum_{k=1}^{D} w_{i j k} x_{i} x_{j} x_{k}
$$</t>
  </si>
  <si>
    <t>the curse of dimensionality</t>
  </si>
  <si>
    <t>$$
p\left(\mathcal{C}_{k} \mid \mathbf{x}\right)=\frac{p\left(\mathbf{x} \mid \mathcal{C}_{k}\right) p\left(\mathcal{C}_{k}\right)}{p(\mathbf{x})}
$$</t>
  </si>
  <si>
    <t>Bayes’ theorem, classification, decision theory</t>
  </si>
  <si>
    <t>$$
\mathbb{E}[L]=\iint L(t, y(\mathbf{x})) p(\mathbf{x}, t) \mathrm{d} \mathbf{x} \mathrm{d} t
$$</t>
  </si>
  <si>
    <t>expected loss, loss function, regression</t>
  </si>
  <si>
    <t>$$
\mathbb{E}\left[L_{q}\right]=\iint|y(\mathbf{x})-t|^{q} p(\mathbf{x}, t) \mathrm{d} \mathbf{x} \mathrm{d} t
$$</t>
  </si>
  <si>
    <t>Minkowski loss</t>
  </si>
  <si>
    <t>$$
\mathrm{H}=-\lim _{N \rightarrow \infty} \sum_{i}\left(\frac{n_{i}}{N}\right) \ln \left(\frac{n_{i}}{N}\right)=-\sum_{i} p_{i} \ln p_{i}
$$</t>
  </si>
  <si>
    <t>microstate, macrostate, weight, entropy</t>
  </si>
  <si>
    <t>$$
\ln N ! \simeq N \ln N-N
$$</t>
  </si>
  <si>
    <t>Stirling’s approximation</t>
  </si>
  <si>
    <t>$$
\mathrm{H}[\mathbf{x}]=-\int p(\mathbf{x}) \ln p(\mathbf{x}) \mathrm{d} \mathbf{x}
$$</t>
  </si>
  <si>
    <t>differential entropy</t>
  </si>
  <si>
    <t>$$
\mathrm{H}[\mathbf{y} \mid \mathbf{x}]=-\iint p(\mathbf{y}, \mathbf{x}) \ln p(\mathbf{y} \mid \mathbf{x}) \mathrm{d} \mathbf{y} \mathrm{d} \mathbf{x}
$$</t>
  </si>
  <si>
    <t>conditional entropy</t>
  </si>
  <si>
    <t>$$
\begin{aligned}
\mathrm{KL}(p \| q) &amp;=-\int p(\mathbf{x}) \ln q(\mathbf{x}) \mathrm{d} \mathbf{x}-\left(-\int p(\mathbf{x}) \ln p(\mathbf{x}) \mathrm{d} \mathbf{x}\right) \\
&amp;=-\int p(\mathbf{x}) \ln \left\{\frac{q(\mathbf{x})}{p(\mathbf{x})}\right\} \mathrm{d} \mathbf{x} .
\end{aligned}
$$</t>
  </si>
  <si>
    <t>Kullback-Leibler divergence, KL divergence, relative entropy</t>
  </si>
  <si>
    <t>$$
f(\lambda a+(1-\lambda) b) \leqslant \lambda f(a)+(1-\lambda) f(b)
$$</t>
  </si>
  <si>
    <t>convexity, convex function, concave</t>
  </si>
  <si>
    <t>$$
f\left(\int \mathbf{x} p(\mathbf{x}) \mathrm{d} \mathbf{x}\right) \leqslant \int f(\mathbf{x}) p(\mathbf{x}) \mathrm{d} \mathbf{x}
$$</t>
  </si>
  <si>
    <t>Jensen’s inequality, convexity, expectation</t>
  </si>
  <si>
    <t>$$
\begin{aligned}
\mathrm{I}[\mathbf{x}, \mathbf{y}] &amp; \equiv \operatorname{KL}(p(\mathbf{x}, \mathbf{y}) \| p(\mathbf{x}) p(\mathbf{y})) \\
&amp;=-\iint p(\mathbf{x}, \mathbf{y}) \ln \left(\frac{p(\mathbf{x}) p(\mathbf{y})}{p(\mathbf{x}, \mathbf{y})}\right) \mathrm{d} \mathbf{x} \mathrm{d} \mathbf{y}
\end{aligned}
$$</t>
  </si>
  <si>
    <t>mutual information, joint distribution, Kullback-Leibler divergence</t>
  </si>
  <si>
    <t>$$
\mathrm{I}[\mathbf{x}, \mathbf{y}]=\mathrm{H}[\mathbf{x}]-\mathrm{H}[\mathbf{x} \mid \mathbf{y}]=\mathrm{H}[\mathbf{y}]-\mathrm{H}[\mathbf{y} \mid \mathbf{x}]
$$</t>
  </si>
  <si>
    <t>mutual information, conditional entropy</t>
  </si>
  <si>
    <t>$$
\operatorname{Bin}(m \mid N, \mu)=\left(\begin{array}{l}
N \\
m
\end{array}\right) \mu^{m}(1-\mu)^{N-m}
$$</t>
  </si>
  <si>
    <t>binomial distribution</t>
  </si>
  <si>
    <t>$$
\operatorname{Beta}(\mu \mid a, b)=\frac{\Gamma(a+b)}{\Gamma(a) \Gamma(b)} \mu^{a-1}(1-\mu)^{b-1}
$$</t>
  </si>
  <si>
    <t>beta distribution, gamma function, conjugacy, prior distribution</t>
  </si>
  <si>
    <t>$$
\operatorname{Dir}(\boldsymbol{\mu} \mid \boldsymbol{\alpha})=\frac{\Gamma\left(\alpha_{0}\right)}{\Gamma\left(\alpha_{1}\right) \cdots \Gamma\left(\alpha_{K}\right)} \prod_{k=1}^{K} \mu_{k}^{\alpha_{k}-1}
$$</t>
  </si>
  <si>
    <t>Dirichlet distribution, gamma function</t>
  </si>
  <si>
    <t>$$
\Delta^{2}=(\mathbf{x}-\boldsymbol{\mu})^{\mathrm{T}} \boldsymbol{\Sigma}^{-1}(\mathbf{x}-\boldsymbol{\mu})
$$</t>
  </si>
  <si>
    <t>Mahalanobis distance, exponent, Gaussian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</si>
</sst>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LM Roman 10"/>
      <family val="2"/>
    </font>
    <font>
      <sz val="8"/>
      <name val="LM Roman 10"/>
      <family val="2"/>
    </font>
    <font>
      <sz val="12"/>
      <color theme="9" tint="-0.249977111117893"/>
      <name val="LM Roman 10"/>
      <family val="2"/>
    </font>
    <font>
      <sz val="12"/>
      <color rgb="FF000000"/>
      <name val="LM Roman 10"/>
    </font>
    <font>
      <sz val="12"/>
      <color theme="0"/>
      <name val="LM Roman 10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/>
  </cellXfs>
  <cellStyles count="1">
    <cellStyle name="Normal" xfId="0" builtinId="0"/>
  </cellStyles>
  <dxfs count="3"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LM Roman 10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9CC0E3-7318-494B-BDD3-DE8FD69539A4}" name="Table2" displayName="Table2" ref="B6:B10" totalsRowShown="0">
  <autoFilter ref="B6:B10" xr:uid="{649CC0E3-7318-494B-BDD3-DE8FD69539A4}"/>
  <tableColumns count="1">
    <tableColumn id="1" xr3:uid="{81ED2ABD-3C95-0F4E-A918-E2051AA77A06}" name="Cours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9614AB-ADE8-6F4E-A3B6-7C3C5AC511BE}" name="Table3" displayName="Table3" ref="B12:B13" totalsRowShown="0" dataDxfId="2">
  <autoFilter ref="B12:B13" xr:uid="{E49614AB-ADE8-6F4E-A3B6-7C3C5AC511BE}"/>
  <tableColumns count="1">
    <tableColumn id="1" xr3:uid="{D8F172A2-88C8-B948-96F3-37FCD58595BC}" name="Count" dataDxfId="1">
      <calculatedColumnFormula>COUNTA(Table1[LaTeX])</calculatedColumnFormula>
    </tableColumn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219A11-C3B7-1344-BD6E-E6E814C11956}" name="Table1" displayName="Table1" ref="A1:C2000" totalsRowShown="0" headerRowDxfId="0">
  <autoFilter ref="A1:C2000" xr:uid="{F9219A11-C3B7-1344-BD6E-E6E814C11956}"/>
  <tableColumns count="3">
    <tableColumn id="1" xr3:uid="{8032DB03-D11A-2B4C-8B6C-73CBD78FB9C7}" name="LaTeX"/>
    <tableColumn id="2" xr3:uid="{F45D44DF-7BCE-3E45-BADC-D3354D34E40A}" name="Description"/>
    <tableColumn id="3" xr3:uid="{B9C8AC49-9C37-7E4C-93A2-0C1F725AF3A8}" name="Cours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2603-6A7B-774C-BCF9-12624F271180}">
  <sheetPr codeName="Sheet1"/>
  <dimension ref="B1:D13"/>
  <sheetViews>
    <sheetView workbookViewId="0">
      <selection activeCell="C2" sqref="C2"/>
    </sheetView>
  </sheetViews>
  <sheetFormatPr baseColWidth="10" defaultRowHeight="20"/>
  <cols>
    <col min="2" max="2" width="20.83203125" customWidth="1"/>
    <col min="3" max="3" width="100.83203125" customWidth="1"/>
  </cols>
  <sheetData>
    <row r="1" spans="2:4">
      <c r="B1" s="6"/>
      <c r="C1" s="6"/>
      <c r="D1" s="6"/>
    </row>
    <row r="2" spans="2:4" ht="100" customHeight="1">
      <c r="B2" s="1" t="s">
        <v>0</v>
      </c>
      <c r="C2" s="8"/>
      <c r="D2" s="6"/>
    </row>
    <row r="3" spans="2:4" ht="100" customHeight="1">
      <c r="B3" s="2" t="s">
        <v>1</v>
      </c>
      <c r="C3" s="7"/>
      <c r="D3" s="6"/>
    </row>
    <row r="4" spans="2:4" ht="100" customHeight="1">
      <c r="B4" s="1" t="s">
        <v>2</v>
      </c>
      <c r="C4" s="5" t="s">
        <v>3</v>
      </c>
      <c r="D4" s="6"/>
    </row>
    <row r="5" spans="2:4">
      <c r="C5" s="4" cm="1">
        <f t="array" ref="C5">Table3[Count]+1</f>
        <v>44</v>
      </c>
    </row>
    <row r="6" spans="2:4">
      <c r="B6" t="s">
        <v>2</v>
      </c>
    </row>
    <row r="7" spans="2:4">
      <c r="B7" t="s">
        <v>3</v>
      </c>
    </row>
    <row r="8" spans="2:4">
      <c r="B8" t="s">
        <v>4</v>
      </c>
    </row>
    <row r="9" spans="2:4">
      <c r="B9" t="s">
        <v>5</v>
      </c>
    </row>
    <row r="10" spans="2:4">
      <c r="B10" t="s">
        <v>6</v>
      </c>
    </row>
    <row r="12" spans="2:4">
      <c r="B12" t="s">
        <v>7</v>
      </c>
    </row>
    <row r="13" spans="2:4">
      <c r="B13" s="3">
        <f>COUNTA(Table1[LaTeX])</f>
        <v>43</v>
      </c>
    </row>
  </sheetData>
  <phoneticPr fontId="1" type="noConversion"/>
  <dataValidations count="1">
    <dataValidation type="list" allowBlank="1" showInputMessage="1" showErrorMessage="1" sqref="C4" xr:uid="{77DBC184-EA8B-D74D-A672-0DFBDE1A8B2C}">
      <formula1>$B$7:$B$10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_xludf.Copy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06293-69FC-CF47-8501-123B6E272A37}">
  <sheetPr codeName="Sheet2"/>
  <dimension ref="A1:C44"/>
  <sheetViews>
    <sheetView tabSelected="1" workbookViewId="0">
      <selection sqref="A1:C44"/>
    </sheetView>
  </sheetViews>
  <sheetFormatPr baseColWidth="10" defaultRowHeight="20"/>
  <cols>
    <col min="1" max="2" width="50.83203125" customWidth="1"/>
    <col min="3" max="3" width="20.83203125" customWidth="1"/>
  </cols>
  <sheetData>
    <row r="1" spans="1:3">
      <c r="A1" s="4" t="s">
        <v>0</v>
      </c>
      <c r="B1" s="4" t="s">
        <v>1</v>
      </c>
      <c r="C1" s="4" t="s">
        <v>2</v>
      </c>
    </row>
    <row r="2" spans="1:3">
      <c r="A2" s="9" t="s">
        <v>8</v>
      </c>
      <c r="B2" t="s">
        <v>50</v>
      </c>
      <c r="C2" t="s">
        <v>3</v>
      </c>
    </row>
    <row r="3" spans="1:3">
      <c r="A3" s="9" t="s">
        <v>9</v>
      </c>
      <c r="B3" t="s">
        <v>10</v>
      </c>
      <c r="C3" t="s">
        <v>3</v>
      </c>
    </row>
    <row r="4" spans="1:3">
      <c r="A4" t="s">
        <v>11</v>
      </c>
      <c r="B4" t="s">
        <v>12</v>
      </c>
      <c r="C4" t="s">
        <v>3</v>
      </c>
    </row>
    <row r="5" spans="1:3">
      <c r="A5" t="s">
        <v>13</v>
      </c>
      <c r="B5" t="s">
        <v>14</v>
      </c>
      <c r="C5" t="s">
        <v>3</v>
      </c>
    </row>
    <row r="6" spans="1:3">
      <c r="A6" t="s">
        <v>15</v>
      </c>
      <c r="B6" t="s">
        <v>16</v>
      </c>
      <c r="C6" t="s">
        <v>3</v>
      </c>
    </row>
    <row r="7" spans="1:3">
      <c r="A7" t="s">
        <v>17</v>
      </c>
      <c r="B7" t="s">
        <v>18</v>
      </c>
      <c r="C7" t="s">
        <v>3</v>
      </c>
    </row>
    <row r="8" spans="1:3">
      <c r="A8" t="s">
        <v>19</v>
      </c>
      <c r="B8" t="s">
        <v>20</v>
      </c>
      <c r="C8" t="s">
        <v>3</v>
      </c>
    </row>
    <row r="9" spans="1:3">
      <c r="A9" t="s">
        <v>21</v>
      </c>
      <c r="B9" t="s">
        <v>22</v>
      </c>
      <c r="C9" t="s">
        <v>3</v>
      </c>
    </row>
    <row r="10" spans="1:3">
      <c r="A10" t="s">
        <v>23</v>
      </c>
      <c r="B10" t="s">
        <v>24</v>
      </c>
      <c r="C10" t="s">
        <v>3</v>
      </c>
    </row>
    <row r="11" spans="1:3">
      <c r="A11" t="s">
        <v>25</v>
      </c>
      <c r="B11" t="s">
        <v>26</v>
      </c>
      <c r="C11" t="s">
        <v>3</v>
      </c>
    </row>
    <row r="12" spans="1:3">
      <c r="A12" t="s">
        <v>27</v>
      </c>
      <c r="B12" t="s">
        <v>28</v>
      </c>
      <c r="C12" t="s">
        <v>3</v>
      </c>
    </row>
    <row r="13" spans="1:3">
      <c r="A13" t="s">
        <v>29</v>
      </c>
      <c r="B13" t="s">
        <v>30</v>
      </c>
      <c r="C13" t="s">
        <v>3</v>
      </c>
    </row>
    <row r="14" spans="1:3">
      <c r="A14" t="s">
        <v>31</v>
      </c>
      <c r="B14" t="s">
        <v>32</v>
      </c>
      <c r="C14" t="s">
        <v>3</v>
      </c>
    </row>
    <row r="15" spans="1:3">
      <c r="A15" t="s">
        <v>33</v>
      </c>
      <c r="B15" t="s">
        <v>34</v>
      </c>
      <c r="C15" t="s">
        <v>3</v>
      </c>
    </row>
    <row r="16" spans="1:3">
      <c r="A16" t="s">
        <v>35</v>
      </c>
      <c r="B16" t="s">
        <v>36</v>
      </c>
      <c r="C16" t="s">
        <v>3</v>
      </c>
    </row>
    <row r="17" spans="1:3">
      <c r="A17" t="s">
        <v>37</v>
      </c>
      <c r="B17" t="s">
        <v>38</v>
      </c>
      <c r="C17" t="s">
        <v>3</v>
      </c>
    </row>
    <row r="18" spans="1:3">
      <c r="A18" t="s">
        <v>39</v>
      </c>
      <c r="B18" t="s">
        <v>40</v>
      </c>
      <c r="C18" t="s">
        <v>3</v>
      </c>
    </row>
    <row r="19" spans="1:3">
      <c r="A19" t="s">
        <v>41</v>
      </c>
      <c r="B19" t="s">
        <v>42</v>
      </c>
      <c r="C19" t="s">
        <v>3</v>
      </c>
    </row>
    <row r="20" spans="1:3">
      <c r="A20" t="s">
        <v>43</v>
      </c>
      <c r="B20" t="s">
        <v>44</v>
      </c>
      <c r="C20" t="s">
        <v>3</v>
      </c>
    </row>
    <row r="21" spans="1:3">
      <c r="A21" t="s">
        <v>45</v>
      </c>
      <c r="B21" t="s">
        <v>46</v>
      </c>
      <c r="C21" t="s">
        <v>3</v>
      </c>
    </row>
    <row r="22" spans="1:3">
      <c r="A22" t="s">
        <v>47</v>
      </c>
      <c r="B22" t="s">
        <v>48</v>
      </c>
      <c r="C22" t="s">
        <v>3</v>
      </c>
    </row>
    <row r="23" spans="1:3">
      <c r="A23" t="s">
        <v>49</v>
      </c>
      <c r="B23" t="s">
        <v>51</v>
      </c>
      <c r="C23" t="s">
        <v>3</v>
      </c>
    </row>
    <row r="24" spans="1:3">
      <c r="A24" t="s">
        <v>52</v>
      </c>
      <c r="B24" t="s">
        <v>53</v>
      </c>
      <c r="C24" t="s">
        <v>3</v>
      </c>
    </row>
    <row r="25" spans="1:3">
      <c r="A25" t="s">
        <v>54</v>
      </c>
      <c r="B25" t="s">
        <v>55</v>
      </c>
      <c r="C25" t="s">
        <v>3</v>
      </c>
    </row>
    <row r="26" spans="1:3">
      <c r="A26" t="s">
        <v>56</v>
      </c>
      <c r="B26" t="s">
        <v>57</v>
      </c>
      <c r="C26" t="s">
        <v>3</v>
      </c>
    </row>
    <row r="27" spans="1:3">
      <c r="A27" t="s">
        <v>58</v>
      </c>
      <c r="B27" t="s">
        <v>59</v>
      </c>
      <c r="C27" t="s">
        <v>3</v>
      </c>
    </row>
    <row r="28" spans="1:3">
      <c r="A28" t="s">
        <v>60</v>
      </c>
      <c r="B28" t="s">
        <v>61</v>
      </c>
      <c r="C28" t="s">
        <v>3</v>
      </c>
    </row>
    <row r="29" spans="1:3">
      <c r="A29" t="s">
        <v>62</v>
      </c>
      <c r="B29" t="s">
        <v>63</v>
      </c>
      <c r="C29" t="s">
        <v>3</v>
      </c>
    </row>
    <row r="30" spans="1:3">
      <c r="A30" t="s">
        <v>64</v>
      </c>
      <c r="B30" t="s">
        <v>65</v>
      </c>
      <c r="C30" t="s">
        <v>3</v>
      </c>
    </row>
    <row r="31" spans="1:3">
      <c r="A31" t="s">
        <v>66</v>
      </c>
      <c r="B31" t="s">
        <v>67</v>
      </c>
      <c r="C31" t="s">
        <v>3</v>
      </c>
    </row>
    <row r="32" spans="1:3">
      <c r="A32" t="s">
        <v>68</v>
      </c>
      <c r="B32" t="s">
        <v>69</v>
      </c>
      <c r="C32" t="s">
        <v>3</v>
      </c>
    </row>
    <row r="33" spans="1:3">
      <c r="A33" t="s">
        <v>70</v>
      </c>
      <c r="B33" t="s">
        <v>71</v>
      </c>
      <c r="C33" t="s">
        <v>3</v>
      </c>
    </row>
    <row r="34" spans="1:3">
      <c r="A34" t="s">
        <v>72</v>
      </c>
      <c r="B34" t="s">
        <v>73</v>
      </c>
      <c r="C34" t="s">
        <v>3</v>
      </c>
    </row>
    <row r="35" spans="1:3">
      <c r="A35" t="s">
        <v>74</v>
      </c>
      <c r="B35" t="s">
        <v>75</v>
      </c>
      <c r="C35" t="s">
        <v>3</v>
      </c>
    </row>
    <row r="36" spans="1:3">
      <c r="A36" t="s">
        <v>76</v>
      </c>
      <c r="B36" t="s">
        <v>77</v>
      </c>
      <c r="C36" t="s">
        <v>3</v>
      </c>
    </row>
    <row r="37" spans="1:3">
      <c r="A37" t="s">
        <v>78</v>
      </c>
      <c r="B37" t="s">
        <v>79</v>
      </c>
      <c r="C37" t="s">
        <v>3</v>
      </c>
    </row>
    <row r="38" spans="1:3">
      <c r="A38" t="s">
        <v>80</v>
      </c>
      <c r="B38" t="s">
        <v>81</v>
      </c>
      <c r="C38" t="s">
        <v>3</v>
      </c>
    </row>
    <row r="39" spans="1:3">
      <c r="A39" t="s">
        <v>82</v>
      </c>
      <c r="B39" t="s">
        <v>83</v>
      </c>
      <c r="C39" t="s">
        <v>3</v>
      </c>
    </row>
    <row r="40" spans="1:3">
      <c r="A40" t="s">
        <v>84</v>
      </c>
      <c r="B40" t="s">
        <v>85</v>
      </c>
      <c r="C40" t="s">
        <v>3</v>
      </c>
    </row>
    <row r="41" spans="1:3">
      <c r="A41" t="s">
        <v>86</v>
      </c>
      <c r="B41" t="s">
        <v>87</v>
      </c>
      <c r="C41" t="s">
        <v>3</v>
      </c>
    </row>
    <row r="42" spans="1:3">
      <c r="A42" t="s">
        <v>88</v>
      </c>
      <c r="B42" t="s">
        <v>89</v>
      </c>
      <c r="C42" t="s">
        <v>3</v>
      </c>
    </row>
    <row r="43" spans="1:3">
      <c r="A43" t="s">
        <v>90</v>
      </c>
      <c r="B43" t="s">
        <v>91</v>
      </c>
      <c r="C43" t="s">
        <v>3</v>
      </c>
    </row>
    <row r="44" spans="1:3">
      <c r="A44" t="s">
        <v>92</v>
      </c>
      <c r="B44" t="s">
        <v>93</v>
      </c>
      <c r="C44" t="s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editor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2022-01-29T05:14:39Z</dcterms:created>
  <dcterms:modified xsi:type="dcterms:W3CDTF">2022-02-19T02:00:29Z</dcterms:modified>
</cp:coreProperties>
</file>